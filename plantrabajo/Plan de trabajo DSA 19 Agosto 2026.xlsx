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i unidad\DSA\Plan de trabajo\"/>
    </mc:Choice>
  </mc:AlternateContent>
  <xr:revisionPtr revIDLastSave="0" documentId="13_ncr:1_{0FEDB29E-ED82-4ED6-8AE5-64A28F736964}" xr6:coauthVersionLast="47" xr6:coauthVersionMax="47" xr10:uidLastSave="{00000000-0000-0000-0000-000000000000}"/>
  <bookViews>
    <workbookView xWindow="-38520" yWindow="-120" windowWidth="38640" windowHeight="21120" tabRatio="500" xr2:uid="{00000000-000D-0000-FFFF-FFFF00000000}"/>
  </bookViews>
  <sheets>
    <sheet name="Monitore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1" i="1" l="1"/>
  <c r="C37" i="1"/>
  <c r="C42" i="1"/>
  <c r="C40" i="1"/>
  <c r="C39" i="1"/>
  <c r="C38" i="1"/>
</calcChain>
</file>

<file path=xl/sharedStrings.xml><?xml version="1.0" encoding="utf-8"?>
<sst xmlns="http://schemas.openxmlformats.org/spreadsheetml/2006/main" count="366" uniqueCount="145">
  <si>
    <t>Periodo de evaluación:</t>
  </si>
  <si>
    <t>N°</t>
  </si>
  <si>
    <t>Función designada (Reglamento)</t>
  </si>
  <si>
    <t>Actividad / Meta del Plan de Trabajo</t>
  </si>
  <si>
    <t>Indicador de cumplimiento</t>
  </si>
  <si>
    <t>Estado</t>
  </si>
  <si>
    <t>Observaciones</t>
  </si>
  <si>
    <t>No iniciado</t>
  </si>
  <si>
    <t>RESUMEN</t>
  </si>
  <si>
    <t>Total de funciones monitoreadas:</t>
  </si>
  <si>
    <t>N° En proceso:</t>
  </si>
  <si>
    <t>% Avance promedio del Plan de Trabajo:</t>
  </si>
  <si>
    <t>LEYENDA / INSTRUCCIONES DE LLENADO</t>
  </si>
  <si>
    <t>1. La columna 'Función designada' ya contiene las funciones (a-k) establecidas en el reglamento; no editar.</t>
  </si>
  <si>
    <t>3. 'Indicador de cumplimiento' debe ser medible (N° de documentos, % de avance, fecha de entrega, etc.).</t>
  </si>
  <si>
    <t>Agosto</t>
  </si>
  <si>
    <t>Setiembre</t>
  </si>
  <si>
    <t>Octubre</t>
  </si>
  <si>
    <t>Noviembre</t>
  </si>
  <si>
    <t>Diciembre</t>
  </si>
  <si>
    <t>% Avance</t>
  </si>
  <si>
    <t>N° Completado:</t>
  </si>
  <si>
    <t>N° Retrasado:</t>
  </si>
  <si>
    <t>N° No iniciado:</t>
  </si>
  <si>
    <t>Evidencia</t>
  </si>
  <si>
    <t>FORMATO DE MONITOREO DEL PLAN DE TRABAJO — DIRECCIÓN DE SERVICIOS ACADÉMICOS</t>
  </si>
  <si>
    <t>Proponer al Vicerrectorado Académico las políticas, reglamentos y/o normas de funcionamiento de la Dirección de Servicios Académicos</t>
  </si>
  <si>
    <t>Formular y proponer el Plan Estratégico, Proyecto General de Desarrollo, Plan Operativo y Presupuesto de la Dirección de Servicios Académicos en alineamiento con el Plan Estratégico y Proyecto General de Desarrollo Institucional aprobado y en concordancia a los lineamientos y prioridades establecidas</t>
  </si>
  <si>
    <t>Planificar, organizar, dirigir y evaluar las acciones administrativas de la Dirección de Servicios Académicos, de acuerdo con las políticas, reglamentos y normas establecidas.</t>
  </si>
  <si>
    <t>Coordinar, organizar y dirigir, el proceso de matrícula de cada semestre académico de la Universidad, de acuerdo con las disposiciones establecidas por el Vicerrectorado Académico.</t>
  </si>
  <si>
    <t>Autorizar la apertura del ERP University para el proceso de matrícula, así como del cierre del mismo a la conclusión del semestre académico; de acuerdo con el cronograma y las disposiciones establecidas.</t>
  </si>
  <si>
    <t>Dirigir y controlar la orientación a los estudiantes sobre el proceso de matrículas, de acuerdo con las políticas académicas establecidas para dicho proceso y a las exigencias técnicas del ERP University.</t>
  </si>
  <si>
    <t>Solicitar a la Dirección de Tecnología de Información la generación de copia de respaldo de la información académica procesada por el ERP University.</t>
  </si>
  <si>
    <t>Organizar y controlar la recepción entrega de acta de notas de los docentes de las escuelas profesionales, de acuerdo con el cronograma establecido.</t>
  </si>
  <si>
    <t>Supervisar y controlar el registro de las actas de notas de los docentes al ERP University; así como el archivo de los mismos.</t>
  </si>
  <si>
    <t>Organizar, supervisar y controlar la atención y emisión de los documentos académicos solicitados por los estudiantes y las autoridades respectivas de la Universidad.</t>
  </si>
  <si>
    <t>Supervisar y controlar la validación de las resoluciones de matrículas especiales de alumnos de pregrado, así como las matrículas de los alumnos de escuela de posgrado, complementación pedagógica, estudios de licenciatura, entre otros; mediante el ERP University.</t>
  </si>
  <si>
    <t>Supervisar y controlar el desarrollo de las matrículas especiales autorizadas y validadas, mediante el ERP University.</t>
  </si>
  <si>
    <t>Organizar, supervisar y controlar el archivo de los documentas sustentatorios de las matrículas especiales, homologaciones y convalidaciones, validadas y registradas en el ERP University.</t>
  </si>
  <si>
    <t>Dirigir y controlar la organización, archivo y resguardo de la documentación académica física y digital del registro central.</t>
  </si>
  <si>
    <t>Conducir los estudios técnicos respectivos y proponer el proyecto de digitalización de la documentación académica física del registro central de la universidad; así como su implementación respectiva.</t>
  </si>
  <si>
    <t>Proporcionar el directorio de egresados de las escuelas profesionales de la Universidad con la información pertinente; a las unidades orgánicas responsables que la requieran.</t>
  </si>
  <si>
    <t>Verificar y visar los certificados de estudios u otros documentos académicos oficiales que solicitan los estudiantes de la Universidad.</t>
  </si>
  <si>
    <t>Organizar, supervisar y controlar la elaboración del historial académico de los estudiantes de la Universidad.</t>
  </si>
  <si>
    <t>Coordinar, organizar, dirigir y controlar la generación de información académica, para la elaboración del anuario estadístico de la Universidad; así como para el control de la gestión académica y la toma de decisiones.</t>
  </si>
  <si>
    <t>Evaluar y controlar la ejecución del Plan Estratégico, Proyecto General de Desarrollo, Plan Operativo y Presupuesto de la Dirección de Servicios Académicos e informar del avance de los mismos a la Dirección de Planificación y Desarrollo Universitario</t>
  </si>
  <si>
    <t>Coordinar, determinar y estructurar las necesidades de información estadística académica de las unidades académicas y administrativas de la universidad</t>
  </si>
  <si>
    <t>Supervisar y controlar el procesamiento y generación de información estadística académica para cada unidad académica y administrativa de la universidad, de acuerdo con lo determinado y establecido</t>
  </si>
  <si>
    <t>Disponer y controlar la adquisición de equipos, útiles que requiera la Dirección de Servicios Académicos, para el desarrollo de sus actividades; de acuerdo con el Plan Operativo y Presupuesto aprobado.</t>
  </si>
  <si>
    <t>Disponer y controlar el mantenimiento preventivo y correctivo de los equipos de la Dirección de Servicios Académicos.</t>
  </si>
  <si>
    <t>Coordinar y establecer las políticas de seguridad de copia de respaldo (Backus) de la información académica que administra la Dirección.</t>
  </si>
  <si>
    <t>Proponer al Vicerrector Académico, la Memoria Anual de la Dirección Servicios Académicos, de acuerdo con las disposiciones establecidas.</t>
  </si>
  <si>
    <t>Supervisar y controlar el registro de los planes de estudios aprobados de las escuelas profesionales en el ERP University.</t>
  </si>
  <si>
    <t>4. 'Estado' se selecciona de una lista desplegable: No iniciado / En proceso / Completado / Retrasado.</t>
  </si>
  <si>
    <t>5. '% Avance' admite solo valores enteros entre 0 y 100.</t>
  </si>
  <si>
    <t>6. El bloque RESUMEN se calcula automáticamente a partir de las columnas 'Estado' y '% Avance'.</t>
  </si>
  <si>
    <t>Basado en las funciones designadas al Director Universitario (MOF)</t>
  </si>
  <si>
    <t>2026 - II</t>
  </si>
  <si>
    <t>2. Complete 'Actividad / Meta del Plan de Trabajo' con la(s) acción(es) concreta(s) que la Dirección ejecutará para cumplir cada función.</t>
  </si>
  <si>
    <t>Mg. Ing. Hugo Espetia Huamanga</t>
  </si>
  <si>
    <t>100% del POI y Presupuesto de la Dirección consolidado y presentado en la fecha límite.</t>
  </si>
  <si>
    <t>Ejecutar auditorías internas mensuales de procesos administrativos en la Dirección.</t>
  </si>
  <si>
    <t>100% de reportes de evaluación operativa mensual presentados sin observaciones críticas.</t>
  </si>
  <si>
    <t>Plan Operativo e informe de presupuesto aprobado por Dirección de Planificación.</t>
  </si>
  <si>
    <t>Reportes de monitoreo mensual e informes de gestión interna.</t>
  </si>
  <si>
    <t>Programar, difundir y ejecutar el proceso de matrícula regular y extemporánea del semestre 2026 - II.</t>
  </si>
  <si>
    <t>100% de estudiantes aptos matriculados según cronograma académico establecido.</t>
  </si>
  <si>
    <t>Reporte final de matrícula emitido por la Plataforma y Cronograma publicado.</t>
  </si>
  <si>
    <t>0 incidencias técnicas graves relacionadas con la apertura/cierre del sistema.</t>
  </si>
  <si>
    <t>≥ 90% de consultas estudiantiles sobre matrícula resueltas dentro de las 24 horas.</t>
  </si>
  <si>
    <t>100% de copias de respaldo solicitadas y confirmadas por TI antes y después de la matrícula.</t>
  </si>
  <si>
    <t>100% de actas de notas firmadas y recepcionadas dentro del plazo del cronograma.</t>
  </si>
  <si>
    <t>Padrón de actas de notas consolidadas e informe de cumplimiento docente.</t>
  </si>
  <si>
    <t>Validar la carga de notas en el ERP University y efectuar el archivamiento digital y físico de actas.</t>
  </si>
  <si>
    <t>100% de las actas de notas registradas, validadas e ingresadas al archivo central.</t>
  </si>
  <si>
    <t>Cargar y verificar las mallas curriculares y planes de estudio vigentes en el ERP University.</t>
  </si>
  <si>
    <t>100% de planes de estudio vigentes actualizados correctamente en el ERP antes de la matrícula.</t>
  </si>
  <si>
    <t>Optimizar el flujo de emisión de constancias, certificados y récords académicos solicitados por alumnos.</t>
  </si>
  <si>
    <t>Reporte estadístico de atención del sistema de trámites documentarios.</t>
  </si>
  <si>
    <t>Revisar y registrar resoluciones de matrículas especiales (pregrado, posgrado, reactivaciones).</t>
  </si>
  <si>
    <t>100% de resoluciones de matrículas especiales dictaminadas y procesadas en el ERP.</t>
  </si>
  <si>
    <t>Auditar la correcta asignación de asignaturas para casos de matrículas especiales validando prerrequisitos.</t>
  </si>
  <si>
    <t>100% de matrículas especiales auditadas sin inconsistencias en el sistema.</t>
  </si>
  <si>
    <t>Formular normatividad y verificar la ejecución continua de copias de seguridad (Backups) del sistema.</t>
  </si>
  <si>
    <t>100% de respaldos ejecutados con éxito y pruebas de restauración validadas.</t>
  </si>
  <si>
    <t>Informe con bitácora de backups del sistema y reportes de auditoría TI.</t>
  </si>
  <si>
    <t>Planificar y supervisar la ejecución del mantenimiento preventivo y correctivo de los equipos.</t>
  </si>
  <si>
    <t>100% de mantenimientos ejecutados respecto al plan anual programado.</t>
  </si>
  <si>
    <t>Informes de mantenimiento técnico y fichas de conformidad.</t>
  </si>
  <si>
    <t>Gestionar las adquisiciones de equipos y materiales requeridos para la operatividad del área.</t>
  </si>
  <si>
    <t>(Requerimientos logísticos atendidos / Total solicitados) * 100</t>
  </si>
  <si>
    <t>Requerimientos en sistema, órdenes de compra y actas de recepción.</t>
  </si>
  <si>
    <t>Procesar datos y generar reportes estadísticos periódicos para la gestión académica.</t>
  </si>
  <si>
    <t>(Reportes estadísticos emitidos / Reportes programados) * 100</t>
  </si>
  <si>
    <t>Dashboard institucional y reportes estadísticos entregados.</t>
  </si>
  <si>
    <t>Relevar y estandarizar las necesidades de información estadística de las facultades y dependencias.</t>
  </si>
  <si>
    <t>Matriz de necesidades de información validada por las unidades.</t>
  </si>
  <si>
    <t>Fichas técnicas y matriz de requerimientos aprobada.</t>
  </si>
  <si>
    <t>Monitorear la ejecución del POI, presupuesto y Plan Estratégico de la Dirección.</t>
  </si>
  <si>
    <t>Porcentaje de ejecución presupuestal y metas del POI alcanzadas.</t>
  </si>
  <si>
    <t>Reporte trimestral de avance POI remitido a Planificación.</t>
  </si>
  <si>
    <t>Recopilación, análisis y consolidación de información para la elaboración del Anuario Estadístico.</t>
  </si>
  <si>
    <t>Anuario Estadístico culminado y aprobado según cronograma institucional.</t>
  </si>
  <si>
    <t>Documento del Anuario Estadístico publicado y distribuido.</t>
  </si>
  <si>
    <t>Auditoría y emisión continua de historiales académicos de los estudiantes matriculados.</t>
  </si>
  <si>
    <t>Porcentaje de historiales académicos auditados y actualizados sin inconsistencias.</t>
  </si>
  <si>
    <t>Repostes academicos e informes de auditoría.</t>
  </si>
  <si>
    <t>Verificación, visado y despacho de certificados de estudios e historiales oficiales solicitados.</t>
  </si>
  <si>
    <t>100% de verificación de certificados de estudios y otros documentos académicos</t>
  </si>
  <si>
    <t>Registro oficial de expedición de certificados en el ERP.</t>
  </si>
  <si>
    <t>Consolidar y actualizar la base de datos de egresados para su distribución a las unidades usuarias.</t>
  </si>
  <si>
    <t>Directorio actualizado al 100% y remisión dentro de los plazos establecidos.</t>
  </si>
  <si>
    <t>Base de datos consolidada de egresados y memorandos de envío.</t>
  </si>
  <si>
    <t>Formular e implementar el proyecto de digitalización de la documentación académica del Registro Central.</t>
  </si>
  <si>
    <t>Porcentaje de avance en el cronograma de ejecución del proyecto de digitalización.</t>
  </si>
  <si>
    <t>Proyecto técnico aprobado y repositorio digital operativo.</t>
  </si>
  <si>
    <t>Organizar, catalogar y custodiar el acervo documental académico físico y digital del Registro Central.</t>
  </si>
  <si>
    <t>Porcentaje de documentos organizados e inventariados según norma interna.</t>
  </si>
  <si>
    <t>Inventario consolidado del archivo central y acta de custodia.</t>
  </si>
  <si>
    <t>Recepción, revisión y archivamiento digital/físico de expedientes de matrículas especiales y convalidaciones en ERP University.</t>
  </si>
  <si>
    <t>(Expedientes auditados y archivados / Total recibidos) * 100</t>
  </si>
  <si>
    <t>Expedientes archivados e informe mensual de registros en ERP.</t>
  </si>
  <si>
    <t>Consolidar los logros, indicadores de gestión e incidencias operativas para la formulación de la Memoria Anual de la Dirección.</t>
  </si>
  <si>
    <t>Memoria Anual de la Dirección de Servicios Académicos elaborada y presentada al Vicerrectorado Académico.</t>
  </si>
  <si>
    <t>Memoria Anual 2026 en versión digital e impresa con cargo de recepción del Vicerrectorado Académico.</t>
  </si>
  <si>
    <t>X</t>
  </si>
  <si>
    <t>Reglamentos y directivas elevadas al Vicerrectorado Académico.</t>
  </si>
  <si>
    <t>Formular el Plan Operativo Institucional (POI) y Presupuesto Anual de la Dirección para el periodo 2027.</t>
  </si>
  <si>
    <t>Configurar parámetros, gestionar aperturas y cierres programados de la matrícula y del semestre en ERP University para las unidades academicas de pregrado, posgrado y segundas especialidades</t>
  </si>
  <si>
    <t>Implementar mecanismos de orientación "Matrícula Exitosa 2026-II" (Mesa de ayuda presencial y virtual).</t>
  </si>
  <si>
    <t>Coordinar, verificar y ejecutar respaldos periódicos de la BD académica del ERP University.</t>
  </si>
  <si>
    <t>Monitorear el registro y el refrendo de actas de notas por parte de los docentes en las unidades academicas de pregrado, posgrado y segundas especialidades.</t>
  </si>
  <si>
    <t>Aprobacion de Directivas de Matricula, Calendarios Academicos y Reglamentacion Academica modifcada a nivel de todas las unidades academicas.</t>
  </si>
  <si>
    <t>En proceso</t>
  </si>
  <si>
    <t>Resoluciones de modificacion y ampliacion del calendario academico.</t>
  </si>
  <si>
    <t>Reporte de tickets/atenciones de la Mesa de Ayuda y material audiovisual publicados.</t>
  </si>
  <si>
    <t>Informes con reporte de auditoría del sistema ERP.</t>
  </si>
  <si>
    <t>Reportes de planes curriculares actualizados y emitidos por el ERP.</t>
  </si>
  <si>
    <t>100% de solicitudes de documentos de certificacion académica atendidos mediante el sistema de tramite digital virtual.</t>
  </si>
  <si>
    <t>Base de datos de documentos y resoluciones dictaminadas y consolidadas en el ERP.</t>
  </si>
  <si>
    <t>Reportes de auditoria de matriculas especiales en ERP University.</t>
  </si>
  <si>
    <t xml:space="preserve">Elaborar y presentar propuestas de actualización y modificacion de la Reglamentacion Academico -Administrativo  </t>
  </si>
  <si>
    <t>Director de Servicios Académicos</t>
  </si>
  <si>
    <t>Resguardo mensual de copias de respaldo proporcionadas por  por TI.</t>
  </si>
  <si>
    <t>DIPLA: Se envia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</si>
</sst>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1"/>
    </font>
    <font>
      <b/>
      <sz val="14"/>
      <color rgb="FFFFFFFF"/>
      <name val="Arial"/>
      <family val="2"/>
    </font>
    <font>
      <i/>
      <sz val="10"/>
      <color rgb="FF595959"/>
      <name val="Arial"/>
      <family val="2"/>
    </font>
    <font>
      <b/>
      <sz val="10"/>
      <color rgb="FF1F3864"/>
      <name val="Arial"/>
      <family val="2"/>
    </font>
    <font>
      <b/>
      <sz val="10"/>
      <color rgb="FFFFFFFF"/>
      <name val="Arial"/>
      <family val="2"/>
    </font>
    <font>
      <sz val="10"/>
      <color rgb="FF000000"/>
      <name val="Arial"/>
      <family val="2"/>
    </font>
    <font>
      <b/>
      <sz val="11"/>
      <color rgb="FF1F3864"/>
      <name val="Arial"/>
      <family val="2"/>
    </font>
    <font>
      <i/>
      <sz val="9"/>
      <color rgb="FF595959"/>
      <name val="Arial"/>
      <family val="2"/>
    </font>
    <font>
      <b/>
      <sz val="10"/>
      <color theme="0"/>
      <name val="Arial"/>
      <family val="2"/>
    </font>
    <font>
      <sz val="11"/>
      <color theme="0"/>
      <name val="Calibri"/>
      <family val="2"/>
      <charset val="1"/>
    </font>
    <font>
      <b/>
      <sz val="11"/>
      <color theme="0"/>
      <name val="Arial"/>
      <family val="2"/>
    </font>
    <font>
      <sz val="11"/>
      <color rgb="FFC00000"/>
      <name val="Calibri"/>
      <family val="2"/>
      <charset val="1"/>
    </font>
    <font>
      <b/>
      <sz val="11"/>
      <color rgb="FFC00000"/>
      <name val="Arial"/>
      <family val="2"/>
    </font>
    <font>
      <b/>
      <sz val="14"/>
      <color rgb="FFC00000"/>
      <name val="Arial"/>
      <family val="2"/>
    </font>
    <font>
      <sz val="10"/>
      <color rgb="FF1F3864"/>
      <name val="Arial"/>
      <family val="2"/>
    </font>
    <font>
      <sz val="10"/>
      <name val="Arial"/>
      <family val="2"/>
    </font>
    <font>
      <b/>
      <sz val="11"/>
      <color theme="1"/>
      <name val="Calibri"/>
      <family val="2"/>
    </font>
    <font>
      <b/>
      <sz val="10"/>
      <color rgb="FF000000"/>
      <name val="Arial"/>
      <family val="2"/>
    </font>
  </fonts>
  <fills count="10">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2E5395"/>
        <bgColor rgb="FF1F3864"/>
      </patternFill>
    </fill>
    <fill>
      <patternFill patternType="solid">
        <fgColor rgb="FFF2F2F2"/>
        <bgColor rgb="FFFFF9E5"/>
      </patternFill>
    </fill>
    <fill>
      <patternFill patternType="solid">
        <fgColor theme="0"/>
        <bgColor indexed="64"/>
      </patternFill>
    </fill>
    <fill>
      <patternFill patternType="solid">
        <fgColor theme="3"/>
        <bgColor indexed="64"/>
      </patternFill>
    </fill>
    <fill>
      <patternFill patternType="solid">
        <fgColor theme="4" tint="0.59999389629810485"/>
        <bgColor rgb="FFFFF9E5"/>
      </patternFill>
    </fill>
    <fill>
      <patternFill patternType="solid">
        <fgColor theme="4" tint="0.59999389629810485"/>
        <bgColor indexed="64"/>
      </patternFill>
    </fill>
  </fills>
  <borders count="8">
    <border>
      <left/>
      <right/>
      <top/>
      <bottom/>
      <diagonal/>
    </border>
    <border>
      <left style="thin">
        <color rgb="FFB7B7B7"/>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style="thin">
        <color rgb="FFB7B7B7"/>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3" fillId="0" borderId="0" xfId="0" applyFont="1"/>
    <xf numFmtId="0" fontId="4"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6" fillId="0" borderId="0" xfId="0" applyFont="1"/>
    <xf numFmtId="0" fontId="4" fillId="4" borderId="4" xfId="0" applyFont="1" applyFill="1" applyBorder="1" applyAlignment="1">
      <alignment horizontal="center" vertical="center" wrapText="1"/>
    </xf>
    <xf numFmtId="0" fontId="8" fillId="0" borderId="0" xfId="0" applyFont="1"/>
    <xf numFmtId="0" fontId="9" fillId="0" borderId="0" xfId="0" applyFont="1"/>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5" fillId="5" borderId="5"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6" xfId="0" applyFont="1" applyFill="1" applyBorder="1" applyAlignment="1">
      <alignment horizontal="center" vertical="center" wrapText="1"/>
    </xf>
    <xf numFmtId="0" fontId="5" fillId="6" borderId="5" xfId="0" applyFont="1" applyFill="1" applyBorder="1" applyAlignment="1">
      <alignment horizontal="left" vertical="center" wrapText="1"/>
    </xf>
    <xf numFmtId="0" fontId="10" fillId="7" borderId="7" xfId="0" applyFont="1" applyFill="1" applyBorder="1"/>
    <xf numFmtId="0" fontId="9" fillId="7" borderId="7" xfId="0" applyFont="1" applyFill="1" applyBorder="1"/>
    <xf numFmtId="0" fontId="11" fillId="0" borderId="7" xfId="0" applyFont="1" applyBorder="1"/>
    <xf numFmtId="0" fontId="12" fillId="0" borderId="7" xfId="0" applyFont="1" applyBorder="1"/>
    <xf numFmtId="164" fontId="13" fillId="0" borderId="7" xfId="0" applyNumberFormat="1" applyFont="1" applyBorder="1" applyAlignment="1">
      <alignment horizontal="center" vertical="center" wrapText="1"/>
    </xf>
    <xf numFmtId="0" fontId="14" fillId="0" borderId="7" xfId="0" applyFont="1" applyBorder="1"/>
    <xf numFmtId="0" fontId="0" fillId="0" borderId="7" xfId="0" applyBorder="1"/>
    <xf numFmtId="1" fontId="15" fillId="0" borderId="7" xfId="0" applyNumberFormat="1" applyFont="1" applyBorder="1" applyAlignment="1">
      <alignment horizontal="center" vertical="center" wrapText="1"/>
    </xf>
    <xf numFmtId="9" fontId="5" fillId="0" borderId="5" xfId="0" applyNumberFormat="1" applyFont="1" applyBorder="1" applyAlignment="1">
      <alignment horizontal="left" vertical="center" wrapText="1"/>
    </xf>
    <xf numFmtId="0" fontId="7" fillId="0" borderId="0" xfId="0" applyFont="1" applyAlignment="1">
      <alignment vertical="center" wrapText="1"/>
    </xf>
    <xf numFmtId="0" fontId="4" fillId="4"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0" fillId="3" borderId="1" xfId="0" applyFill="1" applyBorder="1" applyAlignment="1">
      <alignment horizontal="left" vertical="center" wrapText="1"/>
    </xf>
    <xf numFmtId="0" fontId="9" fillId="0" borderId="0" xfId="0" applyFont="1" applyAlignment="1">
      <alignment horizontal="left" vertical="center" wrapText="1"/>
    </xf>
    <xf numFmtId="0" fontId="16" fillId="3" borderId="1" xfId="0" applyFont="1" applyFill="1" applyBorder="1" applyAlignment="1">
      <alignment horizontal="left" vertical="center" wrapText="1"/>
    </xf>
    <xf numFmtId="0" fontId="17" fillId="8"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7" fillId="9" borderId="2" xfId="0" applyFont="1" applyFill="1" applyBorder="1" applyAlignment="1">
      <alignment horizontal="center" vertical="center" wrapText="1"/>
    </xf>
    <xf numFmtId="0" fontId="17" fillId="0" borderId="2" xfId="0" applyFont="1" applyBorder="1" applyAlignment="1">
      <alignment horizontal="center" vertical="center" wrapText="1"/>
    </xf>
    <xf numFmtId="0" fontId="17" fillId="8"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9" borderId="5" xfId="0" applyFont="1" applyFill="1" applyBorder="1" applyAlignment="1">
      <alignment horizontal="center" vertical="center" wrapText="1"/>
    </xf>
    <xf numFmtId="0" fontId="17" fillId="0" borderId="5" xfId="0" applyFont="1" applyBorder="1" applyAlignment="1">
      <alignment horizontal="center" vertical="center" wrapText="1"/>
    </xf>
    <xf numFmtId="0" fontId="17" fillId="9" borderId="5" xfId="0" applyFont="1" applyFill="1" applyBorder="1" applyAlignment="1">
      <alignment horizontal="left" vertical="center" wrapText="1"/>
    </xf>
    <xf numFmtId="0" fontId="17" fillId="0" borderId="5" xfId="0" applyFont="1" applyBorder="1" applyAlignment="1">
      <alignment horizontal="left" vertical="center" wrapText="1"/>
    </xf>
    <xf numFmtId="0" fontId="17" fillId="8" borderId="5" xfId="0" applyFont="1" applyFill="1" applyBorder="1" applyAlignment="1">
      <alignment horizontal="left" vertical="center" wrapText="1"/>
    </xf>
    <xf numFmtId="0" fontId="17" fillId="5" borderId="5" xfId="0" applyFont="1" applyFill="1" applyBorder="1" applyAlignment="1">
      <alignment horizontal="left" vertical="center" wrapText="1"/>
    </xf>
    <xf numFmtId="0" fontId="17" fillId="8" borderId="6" xfId="0" applyFont="1" applyFill="1" applyBorder="1" applyAlignment="1">
      <alignment horizontal="left" vertical="center" wrapText="1"/>
    </xf>
    <xf numFmtId="0" fontId="17" fillId="5" borderId="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9E5"/>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0"/>
  <sheetViews>
    <sheetView showGridLines="0" tabSelected="1" zoomScale="115" zoomScaleNormal="115" workbookViewId="0">
      <pane xSplit="2" ySplit="7" topLeftCell="C8" activePane="bottomRight" state="frozen"/>
      <selection pane="topRight" activeCell="C1" sqref="C1"/>
      <selection pane="bottomLeft" activeCell="A10" sqref="A10"/>
      <selection pane="bottomRight" activeCell="E12" sqref="E12"/>
    </sheetView>
  </sheetViews>
  <sheetFormatPr baseColWidth="10" defaultColWidth="8.7109375" defaultRowHeight="15" x14ac:dyDescent="0.25"/>
  <cols>
    <col min="1" max="1" width="5" customWidth="1"/>
    <col min="2" max="2" width="59.5703125" customWidth="1"/>
    <col min="3" max="3" width="49" customWidth="1"/>
    <col min="4" max="4" width="34.140625" customWidth="1"/>
    <col min="5" max="24" width="2.7109375" customWidth="1"/>
    <col min="25" max="25" width="26.85546875" customWidth="1"/>
    <col min="26" max="26" width="8.28515625" customWidth="1"/>
    <col min="27" max="27" width="14.42578125" customWidth="1"/>
    <col min="28" max="28" width="26" customWidth="1"/>
    <col min="29" max="29" width="10.7109375" customWidth="1"/>
  </cols>
  <sheetData>
    <row r="1" spans="1:28" ht="25.5" customHeight="1" x14ac:dyDescent="0.25">
      <c r="A1" s="30" t="s">
        <v>25</v>
      </c>
      <c r="B1" s="30"/>
      <c r="C1" s="30"/>
      <c r="D1" s="30"/>
      <c r="E1" s="30"/>
      <c r="F1" s="30"/>
      <c r="G1" s="30"/>
      <c r="H1" s="30"/>
      <c r="I1" s="30"/>
      <c r="J1" s="30"/>
      <c r="K1" s="30"/>
      <c r="L1" s="30"/>
      <c r="M1" s="30"/>
      <c r="N1" s="30"/>
      <c r="O1" s="30"/>
      <c r="P1" s="30"/>
      <c r="Q1" s="30"/>
      <c r="R1" s="30"/>
      <c r="S1" s="30"/>
      <c r="T1" s="30"/>
      <c r="U1" s="30"/>
      <c r="V1" s="30"/>
      <c r="W1" s="30"/>
      <c r="X1" s="30"/>
      <c r="Y1" s="30"/>
      <c r="Z1" s="30"/>
      <c r="AA1" s="30"/>
      <c r="AB1" s="30"/>
    </row>
    <row r="2" spans="1:28" ht="15.75" customHeight="1" x14ac:dyDescent="0.25">
      <c r="A2" s="31" t="s">
        <v>56</v>
      </c>
      <c r="B2" s="31"/>
      <c r="C2" s="31"/>
      <c r="D2" s="31"/>
      <c r="E2" s="31"/>
      <c r="F2" s="31"/>
      <c r="G2" s="31"/>
      <c r="H2" s="31"/>
      <c r="I2" s="31"/>
      <c r="J2" s="31"/>
      <c r="K2" s="31"/>
      <c r="L2" s="31"/>
      <c r="M2" s="31"/>
      <c r="N2" s="31"/>
      <c r="O2" s="31"/>
      <c r="P2" s="31"/>
      <c r="Q2" s="31"/>
      <c r="R2" s="31"/>
      <c r="S2" s="31"/>
      <c r="T2" s="31"/>
      <c r="U2" s="31"/>
      <c r="V2" s="31"/>
      <c r="W2" s="31"/>
      <c r="X2" s="31"/>
      <c r="Y2" s="31"/>
      <c r="Z2" s="31"/>
      <c r="AA2" s="31"/>
      <c r="AB2" s="31"/>
    </row>
    <row r="4" spans="1:28" ht="15.75" customHeight="1" x14ac:dyDescent="0.25">
      <c r="A4" s="1" t="s">
        <v>142</v>
      </c>
      <c r="C4" s="34" t="s">
        <v>59</v>
      </c>
      <c r="D4" s="34"/>
      <c r="E4" s="34"/>
      <c r="F4" s="34"/>
      <c r="G4" s="34"/>
      <c r="H4" s="34"/>
      <c r="I4" s="34"/>
      <c r="J4" s="34"/>
      <c r="L4" s="9"/>
      <c r="M4" s="9"/>
      <c r="N4" s="9"/>
      <c r="O4" s="10"/>
      <c r="P4" s="33"/>
      <c r="Q4" s="33"/>
      <c r="R4" s="33"/>
      <c r="S4" s="33"/>
      <c r="T4" s="33"/>
      <c r="U4" s="33"/>
      <c r="V4" s="33"/>
      <c r="W4" s="33"/>
      <c r="X4" s="33"/>
      <c r="Y4" s="33"/>
      <c r="Z4" s="33"/>
      <c r="AA4" s="33"/>
      <c r="AB4" s="33"/>
    </row>
    <row r="5" spans="1:28" ht="15.75" customHeight="1" x14ac:dyDescent="0.25">
      <c r="A5" s="1" t="s">
        <v>0</v>
      </c>
      <c r="C5" s="32" t="s">
        <v>57</v>
      </c>
      <c r="D5" s="32"/>
      <c r="E5" s="32"/>
      <c r="F5" s="32"/>
      <c r="G5" s="32"/>
      <c r="H5" s="32"/>
      <c r="I5" s="32"/>
      <c r="J5" s="32"/>
      <c r="L5" s="9"/>
      <c r="M5" s="9"/>
      <c r="N5" s="9"/>
      <c r="O5" s="10"/>
      <c r="P5" s="33"/>
      <c r="Q5" s="33"/>
      <c r="R5" s="33"/>
      <c r="S5" s="33"/>
      <c r="T5" s="33"/>
      <c r="U5" s="33"/>
      <c r="V5" s="33"/>
      <c r="W5" s="33"/>
      <c r="X5" s="33"/>
      <c r="Y5" s="33"/>
      <c r="Z5" s="33"/>
      <c r="AA5" s="33"/>
      <c r="AB5" s="33"/>
    </row>
    <row r="7" spans="1:28" ht="31.5" customHeight="1" x14ac:dyDescent="0.25">
      <c r="A7" s="2" t="s">
        <v>1</v>
      </c>
      <c r="B7" s="2" t="s">
        <v>2</v>
      </c>
      <c r="C7" s="2" t="s">
        <v>3</v>
      </c>
      <c r="D7" s="2" t="s">
        <v>4</v>
      </c>
      <c r="E7" s="27" t="s">
        <v>15</v>
      </c>
      <c r="F7" s="28"/>
      <c r="G7" s="28"/>
      <c r="H7" s="29"/>
      <c r="I7" s="27" t="s">
        <v>16</v>
      </c>
      <c r="J7" s="28"/>
      <c r="K7" s="28"/>
      <c r="L7" s="29"/>
      <c r="M7" s="27" t="s">
        <v>17</v>
      </c>
      <c r="N7" s="28"/>
      <c r="O7" s="28"/>
      <c r="P7" s="29"/>
      <c r="Q7" s="27" t="s">
        <v>18</v>
      </c>
      <c r="R7" s="28"/>
      <c r="S7" s="28"/>
      <c r="T7" s="29"/>
      <c r="U7" s="28" t="s">
        <v>19</v>
      </c>
      <c r="V7" s="28"/>
      <c r="W7" s="28"/>
      <c r="X7" s="29"/>
      <c r="Y7" s="8" t="s">
        <v>24</v>
      </c>
      <c r="Z7" s="8" t="s">
        <v>20</v>
      </c>
      <c r="AA7" s="2" t="s">
        <v>5</v>
      </c>
      <c r="AB7" s="2" t="s">
        <v>6</v>
      </c>
    </row>
    <row r="8" spans="1:28" ht="76.5" x14ac:dyDescent="0.25">
      <c r="A8" s="3">
        <v>1</v>
      </c>
      <c r="B8" s="4" t="s">
        <v>26</v>
      </c>
      <c r="C8" s="4" t="s">
        <v>141</v>
      </c>
      <c r="D8" s="4" t="s">
        <v>126</v>
      </c>
      <c r="E8" s="35"/>
      <c r="F8" s="35"/>
      <c r="G8" s="35"/>
      <c r="H8" s="35"/>
      <c r="I8" s="36"/>
      <c r="J8" s="36"/>
      <c r="K8" s="36"/>
      <c r="L8" s="36"/>
      <c r="M8" s="35"/>
      <c r="N8" s="35"/>
      <c r="O8" s="35"/>
      <c r="P8" s="35" t="s">
        <v>125</v>
      </c>
      <c r="Q8" s="36" t="s">
        <v>125</v>
      </c>
      <c r="R8" s="36" t="s">
        <v>125</v>
      </c>
      <c r="S8" s="36"/>
      <c r="T8" s="36"/>
      <c r="U8" s="35"/>
      <c r="V8" s="35"/>
      <c r="W8" s="35"/>
      <c r="X8" s="35"/>
      <c r="Y8" s="4" t="s">
        <v>132</v>
      </c>
      <c r="Z8" s="3">
        <v>0</v>
      </c>
      <c r="AA8" s="4" t="s">
        <v>7</v>
      </c>
      <c r="AB8" s="4" t="s">
        <v>144</v>
      </c>
    </row>
    <row r="9" spans="1:28" ht="73.5" customHeight="1" x14ac:dyDescent="0.25">
      <c r="A9" s="5">
        <v>2</v>
      </c>
      <c r="B9" s="6" t="s">
        <v>27</v>
      </c>
      <c r="C9" s="6" t="s">
        <v>127</v>
      </c>
      <c r="D9" s="6" t="s">
        <v>60</v>
      </c>
      <c r="E9" s="37"/>
      <c r="F9" s="37"/>
      <c r="G9" s="37"/>
      <c r="H9" s="37"/>
      <c r="I9" s="38"/>
      <c r="J9" s="38"/>
      <c r="K9" s="38"/>
      <c r="L9" s="38"/>
      <c r="M9" s="35"/>
      <c r="N9" s="35"/>
      <c r="O9" s="35"/>
      <c r="P9" s="35"/>
      <c r="Q9" s="38" t="s">
        <v>125</v>
      </c>
      <c r="R9" s="38" t="s">
        <v>125</v>
      </c>
      <c r="S9" s="38" t="s">
        <v>125</v>
      </c>
      <c r="T9" s="38"/>
      <c r="U9" s="35"/>
      <c r="V9" s="35"/>
      <c r="W9" s="35"/>
      <c r="X9" s="35"/>
      <c r="Y9" s="6" t="s">
        <v>63</v>
      </c>
      <c r="Z9" s="5">
        <v>0</v>
      </c>
      <c r="AA9" s="5" t="s">
        <v>7</v>
      </c>
      <c r="AB9" s="6"/>
    </row>
    <row r="10" spans="1:28" ht="60.75" customHeight="1" x14ac:dyDescent="0.25">
      <c r="A10" s="3">
        <v>3</v>
      </c>
      <c r="B10" s="4" t="s">
        <v>28</v>
      </c>
      <c r="C10" s="4" t="s">
        <v>61</v>
      </c>
      <c r="D10" s="4" t="s">
        <v>62</v>
      </c>
      <c r="E10" s="39"/>
      <c r="F10" s="39"/>
      <c r="G10" s="39"/>
      <c r="H10" s="39" t="s">
        <v>125</v>
      </c>
      <c r="I10" s="40"/>
      <c r="J10" s="40"/>
      <c r="K10" s="40"/>
      <c r="L10" s="40" t="s">
        <v>125</v>
      </c>
      <c r="M10" s="35"/>
      <c r="N10" s="35"/>
      <c r="O10" s="35"/>
      <c r="P10" s="35" t="s">
        <v>125</v>
      </c>
      <c r="Q10" s="40"/>
      <c r="R10" s="40"/>
      <c r="S10" s="40"/>
      <c r="T10" s="40" t="s">
        <v>125</v>
      </c>
      <c r="U10" s="35"/>
      <c r="V10" s="35"/>
      <c r="W10" s="35"/>
      <c r="X10" s="35" t="s">
        <v>125</v>
      </c>
      <c r="Y10" s="4" t="s">
        <v>64</v>
      </c>
      <c r="Z10" s="3">
        <v>0</v>
      </c>
      <c r="AA10" s="3" t="s">
        <v>7</v>
      </c>
      <c r="AB10" s="4"/>
    </row>
    <row r="11" spans="1:28" ht="45.75" customHeight="1" x14ac:dyDescent="0.25">
      <c r="A11" s="5">
        <v>4</v>
      </c>
      <c r="B11" s="6" t="s">
        <v>29</v>
      </c>
      <c r="C11" s="6" t="s">
        <v>65</v>
      </c>
      <c r="D11" s="6" t="s">
        <v>66</v>
      </c>
      <c r="E11" s="37" t="s">
        <v>125</v>
      </c>
      <c r="F11" s="37" t="s">
        <v>125</v>
      </c>
      <c r="G11" s="37" t="s">
        <v>125</v>
      </c>
      <c r="H11" s="37" t="s">
        <v>125</v>
      </c>
      <c r="I11" s="38" t="s">
        <v>125</v>
      </c>
      <c r="J11" s="38" t="s">
        <v>125</v>
      </c>
      <c r="K11" s="38"/>
      <c r="L11" s="38"/>
      <c r="M11" s="35"/>
      <c r="N11" s="35"/>
      <c r="O11" s="35"/>
      <c r="P11" s="35"/>
      <c r="Q11" s="38"/>
      <c r="R11" s="38"/>
      <c r="S11" s="38"/>
      <c r="T11" s="38"/>
      <c r="U11" s="35"/>
      <c r="V11" s="35"/>
      <c r="W11" s="35"/>
      <c r="X11" s="35"/>
      <c r="Y11" s="6" t="s">
        <v>67</v>
      </c>
      <c r="Z11" s="5">
        <v>75</v>
      </c>
      <c r="AA11" s="5" t="s">
        <v>133</v>
      </c>
      <c r="AB11" s="6"/>
    </row>
    <row r="12" spans="1:28" ht="55.5" customHeight="1" x14ac:dyDescent="0.25">
      <c r="A12" s="3">
        <v>5</v>
      </c>
      <c r="B12" s="4" t="s">
        <v>30</v>
      </c>
      <c r="C12" s="4" t="s">
        <v>128</v>
      </c>
      <c r="D12" s="4" t="s">
        <v>68</v>
      </c>
      <c r="E12" s="39" t="s">
        <v>125</v>
      </c>
      <c r="F12" s="39" t="s">
        <v>125</v>
      </c>
      <c r="G12" s="39" t="s">
        <v>125</v>
      </c>
      <c r="H12" s="39" t="s">
        <v>125</v>
      </c>
      <c r="I12" s="40"/>
      <c r="J12" s="40" t="s">
        <v>125</v>
      </c>
      <c r="K12" s="40"/>
      <c r="L12" s="40"/>
      <c r="M12" s="35"/>
      <c r="N12" s="35"/>
      <c r="O12" s="35"/>
      <c r="P12" s="35"/>
      <c r="Q12" s="40"/>
      <c r="R12" s="40"/>
      <c r="S12" s="40"/>
      <c r="T12" s="40"/>
      <c r="U12" s="35"/>
      <c r="V12" s="35"/>
      <c r="W12" s="35"/>
      <c r="X12" s="35" t="s">
        <v>125</v>
      </c>
      <c r="Y12" s="4" t="s">
        <v>134</v>
      </c>
      <c r="Z12" s="3">
        <v>0</v>
      </c>
      <c r="AA12" s="3" t="s">
        <v>7</v>
      </c>
      <c r="AB12" s="4"/>
    </row>
    <row r="13" spans="1:28" ht="58.5" customHeight="1" x14ac:dyDescent="0.25">
      <c r="A13" s="5">
        <v>6</v>
      </c>
      <c r="B13" s="6" t="s">
        <v>31</v>
      </c>
      <c r="C13" s="6" t="s">
        <v>129</v>
      </c>
      <c r="D13" s="6" t="s">
        <v>69</v>
      </c>
      <c r="E13" s="37" t="s">
        <v>125</v>
      </c>
      <c r="F13" s="37" t="s">
        <v>125</v>
      </c>
      <c r="G13" s="37" t="s">
        <v>125</v>
      </c>
      <c r="H13" s="37"/>
      <c r="I13" s="38"/>
      <c r="J13" s="38"/>
      <c r="K13" s="38"/>
      <c r="L13" s="38"/>
      <c r="M13" s="35"/>
      <c r="N13" s="35"/>
      <c r="O13" s="35"/>
      <c r="P13" s="35"/>
      <c r="Q13" s="38"/>
      <c r="R13" s="38"/>
      <c r="S13" s="38"/>
      <c r="T13" s="38"/>
      <c r="U13" s="35"/>
      <c r="V13" s="35"/>
      <c r="W13" s="35"/>
      <c r="X13" s="35"/>
      <c r="Y13" s="6" t="s">
        <v>135</v>
      </c>
      <c r="Z13" s="5">
        <v>90</v>
      </c>
      <c r="AA13" s="5" t="s">
        <v>133</v>
      </c>
      <c r="AB13" s="6"/>
    </row>
    <row r="14" spans="1:28" ht="45.75" customHeight="1" x14ac:dyDescent="0.25">
      <c r="A14" s="5">
        <v>7</v>
      </c>
      <c r="B14" s="6" t="s">
        <v>32</v>
      </c>
      <c r="C14" s="6" t="s">
        <v>130</v>
      </c>
      <c r="D14" s="6" t="s">
        <v>70</v>
      </c>
      <c r="E14" s="37"/>
      <c r="F14" s="37"/>
      <c r="G14" s="37"/>
      <c r="H14" s="37" t="s">
        <v>125</v>
      </c>
      <c r="I14" s="38"/>
      <c r="J14" s="38"/>
      <c r="K14" s="38"/>
      <c r="L14" s="38" t="s">
        <v>125</v>
      </c>
      <c r="M14" s="35"/>
      <c r="N14" s="35"/>
      <c r="O14" s="35"/>
      <c r="P14" s="35" t="s">
        <v>125</v>
      </c>
      <c r="Q14" s="38"/>
      <c r="R14" s="38"/>
      <c r="S14" s="38"/>
      <c r="T14" s="38" t="s">
        <v>125</v>
      </c>
      <c r="U14" s="35"/>
      <c r="V14" s="35"/>
      <c r="W14" s="35"/>
      <c r="X14" s="35" t="s">
        <v>125</v>
      </c>
      <c r="Y14" s="6" t="s">
        <v>143</v>
      </c>
      <c r="Z14" s="5">
        <v>0</v>
      </c>
      <c r="AA14" s="5" t="s">
        <v>7</v>
      </c>
      <c r="AB14" s="6"/>
    </row>
    <row r="15" spans="1:28" ht="45.75" customHeight="1" x14ac:dyDescent="0.25">
      <c r="A15" s="5">
        <v>8</v>
      </c>
      <c r="B15" s="6" t="s">
        <v>33</v>
      </c>
      <c r="C15" s="6" t="s">
        <v>131</v>
      </c>
      <c r="D15" s="6" t="s">
        <v>71</v>
      </c>
      <c r="E15" s="37"/>
      <c r="F15" s="37"/>
      <c r="G15" s="37"/>
      <c r="H15" s="37" t="s">
        <v>125</v>
      </c>
      <c r="I15" s="38"/>
      <c r="J15" s="38" t="s">
        <v>125</v>
      </c>
      <c r="K15" s="38"/>
      <c r="L15" s="38" t="s">
        <v>125</v>
      </c>
      <c r="M15" s="35"/>
      <c r="N15" s="35"/>
      <c r="O15" s="35"/>
      <c r="P15" s="35" t="s">
        <v>125</v>
      </c>
      <c r="Q15" s="38" t="s">
        <v>125</v>
      </c>
      <c r="R15" s="38"/>
      <c r="S15" s="38"/>
      <c r="T15" s="38" t="s">
        <v>125</v>
      </c>
      <c r="U15" s="35"/>
      <c r="V15" s="35"/>
      <c r="W15" s="35" t="s">
        <v>125</v>
      </c>
      <c r="X15" s="35" t="s">
        <v>125</v>
      </c>
      <c r="Y15" s="6" t="s">
        <v>72</v>
      </c>
      <c r="Z15" s="5">
        <v>0</v>
      </c>
      <c r="AA15" s="5" t="s">
        <v>7</v>
      </c>
      <c r="AB15" s="6"/>
    </row>
    <row r="16" spans="1:28" ht="45.75" customHeight="1" x14ac:dyDescent="0.25">
      <c r="A16" s="3">
        <v>9</v>
      </c>
      <c r="B16" s="4" t="s">
        <v>34</v>
      </c>
      <c r="C16" s="4" t="s">
        <v>73</v>
      </c>
      <c r="D16" s="4" t="s">
        <v>74</v>
      </c>
      <c r="E16" s="39" t="s">
        <v>125</v>
      </c>
      <c r="F16" s="39" t="s">
        <v>125</v>
      </c>
      <c r="G16" s="39" t="s">
        <v>125</v>
      </c>
      <c r="H16" s="39" t="s">
        <v>125</v>
      </c>
      <c r="I16" s="40"/>
      <c r="J16" s="40"/>
      <c r="K16" s="40"/>
      <c r="L16" s="40" t="s">
        <v>125</v>
      </c>
      <c r="M16" s="35"/>
      <c r="N16" s="35"/>
      <c r="O16" s="35"/>
      <c r="P16" s="35" t="s">
        <v>125</v>
      </c>
      <c r="Q16" s="40"/>
      <c r="R16" s="40"/>
      <c r="S16" s="40"/>
      <c r="T16" s="40" t="s">
        <v>125</v>
      </c>
      <c r="U16" s="35"/>
      <c r="V16" s="35"/>
      <c r="W16" s="35" t="s">
        <v>125</v>
      </c>
      <c r="X16" s="35" t="s">
        <v>125</v>
      </c>
      <c r="Y16" s="4" t="s">
        <v>136</v>
      </c>
      <c r="Z16" s="3">
        <v>0</v>
      </c>
      <c r="AA16" s="3" t="s">
        <v>7</v>
      </c>
      <c r="AB16" s="4"/>
    </row>
    <row r="17" spans="1:28" ht="45.75" customHeight="1" x14ac:dyDescent="0.25">
      <c r="A17" s="5">
        <v>10</v>
      </c>
      <c r="B17" s="12" t="s">
        <v>52</v>
      </c>
      <c r="C17" s="12" t="s">
        <v>75</v>
      </c>
      <c r="D17" s="12" t="s">
        <v>76</v>
      </c>
      <c r="E17" s="41"/>
      <c r="F17" s="41"/>
      <c r="G17" s="41"/>
      <c r="H17" s="41"/>
      <c r="I17" s="42"/>
      <c r="J17" s="42"/>
      <c r="K17" s="42"/>
      <c r="L17" s="42"/>
      <c r="M17" s="35" t="s">
        <v>125</v>
      </c>
      <c r="N17" s="35" t="s">
        <v>125</v>
      </c>
      <c r="O17" s="35" t="s">
        <v>125</v>
      </c>
      <c r="P17" s="35" t="s">
        <v>125</v>
      </c>
      <c r="Q17" s="42" t="s">
        <v>125</v>
      </c>
      <c r="R17" s="42" t="s">
        <v>125</v>
      </c>
      <c r="S17" s="42" t="s">
        <v>125</v>
      </c>
      <c r="T17" s="42"/>
      <c r="U17" s="35"/>
      <c r="V17" s="35"/>
      <c r="W17" s="35"/>
      <c r="X17" s="35"/>
      <c r="Y17" s="12" t="s">
        <v>137</v>
      </c>
      <c r="Z17" s="11">
        <v>0</v>
      </c>
      <c r="AA17" s="11" t="s">
        <v>7</v>
      </c>
      <c r="AB17" s="12"/>
    </row>
    <row r="18" spans="1:28" ht="50.25" customHeight="1" x14ac:dyDescent="0.25">
      <c r="A18" s="3">
        <v>11</v>
      </c>
      <c r="B18" s="4" t="s">
        <v>35</v>
      </c>
      <c r="C18" s="4" t="s">
        <v>77</v>
      </c>
      <c r="D18" s="4" t="s">
        <v>138</v>
      </c>
      <c r="E18" s="35"/>
      <c r="F18" s="35"/>
      <c r="G18" s="35"/>
      <c r="H18" s="35" t="s">
        <v>125</v>
      </c>
      <c r="I18" s="36"/>
      <c r="J18" s="36"/>
      <c r="K18" s="36"/>
      <c r="L18" s="36" t="s">
        <v>125</v>
      </c>
      <c r="M18" s="35"/>
      <c r="N18" s="35"/>
      <c r="O18" s="35"/>
      <c r="P18" s="35" t="s">
        <v>125</v>
      </c>
      <c r="Q18" s="36"/>
      <c r="R18" s="36"/>
      <c r="S18" s="36"/>
      <c r="T18" s="36" t="s">
        <v>125</v>
      </c>
      <c r="U18" s="35"/>
      <c r="V18" s="35"/>
      <c r="W18" s="35"/>
      <c r="X18" s="35" t="s">
        <v>125</v>
      </c>
      <c r="Y18" s="4" t="s">
        <v>78</v>
      </c>
      <c r="Z18" s="3">
        <v>0</v>
      </c>
      <c r="AA18" s="4" t="s">
        <v>7</v>
      </c>
      <c r="AB18" s="4"/>
    </row>
    <row r="19" spans="1:28" ht="59.45" customHeight="1" x14ac:dyDescent="0.25">
      <c r="A19" s="5">
        <v>12</v>
      </c>
      <c r="B19" s="12" t="s">
        <v>36</v>
      </c>
      <c r="C19" s="12" t="s">
        <v>79</v>
      </c>
      <c r="D19" s="12" t="s">
        <v>80</v>
      </c>
      <c r="E19" s="43" t="s">
        <v>125</v>
      </c>
      <c r="F19" s="43" t="s">
        <v>125</v>
      </c>
      <c r="G19" s="43" t="s">
        <v>125</v>
      </c>
      <c r="H19" s="43" t="s">
        <v>125</v>
      </c>
      <c r="I19" s="44" t="s">
        <v>125</v>
      </c>
      <c r="J19" s="44" t="s">
        <v>125</v>
      </c>
      <c r="K19" s="44"/>
      <c r="L19" s="44"/>
      <c r="M19" s="35"/>
      <c r="N19" s="35"/>
      <c r="O19" s="35"/>
      <c r="P19" s="35"/>
      <c r="Q19" s="44"/>
      <c r="R19" s="44"/>
      <c r="S19" s="44"/>
      <c r="T19" s="44"/>
      <c r="U19" s="35"/>
      <c r="V19" s="35"/>
      <c r="W19" s="35"/>
      <c r="X19" s="35"/>
      <c r="Y19" s="12" t="s">
        <v>139</v>
      </c>
      <c r="Z19" s="11">
        <v>50</v>
      </c>
      <c r="AA19" s="11" t="s">
        <v>133</v>
      </c>
      <c r="AB19" s="12"/>
    </row>
    <row r="20" spans="1:28" ht="40.5" customHeight="1" x14ac:dyDescent="0.25">
      <c r="A20" s="3">
        <v>13</v>
      </c>
      <c r="B20" s="13" t="s">
        <v>37</v>
      </c>
      <c r="C20" s="13" t="s">
        <v>81</v>
      </c>
      <c r="D20" s="13" t="s">
        <v>82</v>
      </c>
      <c r="E20" s="45" t="s">
        <v>125</v>
      </c>
      <c r="F20" s="45" t="s">
        <v>125</v>
      </c>
      <c r="G20" s="45" t="s">
        <v>125</v>
      </c>
      <c r="H20" s="45" t="s">
        <v>125</v>
      </c>
      <c r="I20" s="46" t="s">
        <v>125</v>
      </c>
      <c r="J20" s="46" t="s">
        <v>125</v>
      </c>
      <c r="K20" s="46"/>
      <c r="L20" s="46"/>
      <c r="M20" s="35"/>
      <c r="N20" s="35"/>
      <c r="O20" s="35"/>
      <c r="P20" s="35"/>
      <c r="Q20" s="46"/>
      <c r="R20" s="46"/>
      <c r="S20" s="46"/>
      <c r="T20" s="46"/>
      <c r="U20" s="35"/>
      <c r="V20" s="35"/>
      <c r="W20" s="35"/>
      <c r="X20" s="35"/>
      <c r="Y20" s="13" t="s">
        <v>140</v>
      </c>
      <c r="Z20" s="3">
        <v>40</v>
      </c>
      <c r="AA20" s="13" t="s">
        <v>133</v>
      </c>
      <c r="AB20" s="13"/>
    </row>
    <row r="21" spans="1:28" ht="45" customHeight="1" x14ac:dyDescent="0.25">
      <c r="A21" s="5">
        <v>14</v>
      </c>
      <c r="B21" s="12" t="s">
        <v>38</v>
      </c>
      <c r="C21" s="12" t="s">
        <v>119</v>
      </c>
      <c r="D21" s="12" t="s">
        <v>120</v>
      </c>
      <c r="E21" s="43" t="s">
        <v>125</v>
      </c>
      <c r="F21" s="43" t="s">
        <v>125</v>
      </c>
      <c r="G21" s="43" t="s">
        <v>125</v>
      </c>
      <c r="H21" s="43" t="s">
        <v>125</v>
      </c>
      <c r="I21" s="44" t="s">
        <v>125</v>
      </c>
      <c r="J21" s="44" t="s">
        <v>125</v>
      </c>
      <c r="K21" s="44"/>
      <c r="L21" s="44"/>
      <c r="M21" s="35"/>
      <c r="N21" s="35"/>
      <c r="O21" s="35"/>
      <c r="P21" s="35"/>
      <c r="Q21" s="44"/>
      <c r="R21" s="44"/>
      <c r="S21" s="44"/>
      <c r="T21" s="44"/>
      <c r="U21" s="35"/>
      <c r="V21" s="35"/>
      <c r="W21" s="35"/>
      <c r="X21" s="35"/>
      <c r="Y21" s="12" t="s">
        <v>121</v>
      </c>
      <c r="Z21" s="11">
        <v>40</v>
      </c>
      <c r="AA21" s="12" t="s">
        <v>133</v>
      </c>
      <c r="AB21" s="12"/>
    </row>
    <row r="22" spans="1:28" ht="45" customHeight="1" x14ac:dyDescent="0.25">
      <c r="A22" s="3">
        <v>15</v>
      </c>
      <c r="B22" s="13" t="s">
        <v>39</v>
      </c>
      <c r="C22" s="13" t="s">
        <v>116</v>
      </c>
      <c r="D22" s="13" t="s">
        <v>117</v>
      </c>
      <c r="E22" s="45"/>
      <c r="F22" s="45"/>
      <c r="G22" s="45"/>
      <c r="H22" s="45"/>
      <c r="I22" s="46" t="s">
        <v>125</v>
      </c>
      <c r="J22" s="46" t="s">
        <v>125</v>
      </c>
      <c r="K22" s="46" t="s">
        <v>125</v>
      </c>
      <c r="L22" s="46" t="s">
        <v>125</v>
      </c>
      <c r="M22" s="35" t="s">
        <v>125</v>
      </c>
      <c r="N22" s="35" t="s">
        <v>125</v>
      </c>
      <c r="O22" s="35" t="s">
        <v>125</v>
      </c>
      <c r="P22" s="35" t="s">
        <v>125</v>
      </c>
      <c r="Q22" s="46" t="s">
        <v>125</v>
      </c>
      <c r="R22" s="46" t="s">
        <v>125</v>
      </c>
      <c r="S22" s="46" t="s">
        <v>125</v>
      </c>
      <c r="T22" s="46" t="s">
        <v>125</v>
      </c>
      <c r="U22" s="35" t="s">
        <v>125</v>
      </c>
      <c r="V22" s="35" t="s">
        <v>125</v>
      </c>
      <c r="W22" s="35" t="s">
        <v>125</v>
      </c>
      <c r="X22" s="35" t="s">
        <v>125</v>
      </c>
      <c r="Y22" s="13" t="s">
        <v>118</v>
      </c>
      <c r="Z22" s="3">
        <v>5</v>
      </c>
      <c r="AA22" s="13" t="s">
        <v>133</v>
      </c>
      <c r="AB22" s="13"/>
    </row>
    <row r="23" spans="1:28" ht="51" customHeight="1" x14ac:dyDescent="0.25">
      <c r="A23" s="5">
        <v>16</v>
      </c>
      <c r="B23" s="12" t="s">
        <v>40</v>
      </c>
      <c r="C23" s="12" t="s">
        <v>113</v>
      </c>
      <c r="D23" s="12" t="s">
        <v>114</v>
      </c>
      <c r="E23" s="43"/>
      <c r="F23" s="43"/>
      <c r="G23" s="43"/>
      <c r="H23" s="43"/>
      <c r="I23" s="44"/>
      <c r="J23" s="44"/>
      <c r="K23" s="44" t="s">
        <v>125</v>
      </c>
      <c r="L23" s="44" t="s">
        <v>125</v>
      </c>
      <c r="M23" s="35"/>
      <c r="N23" s="35"/>
      <c r="O23" s="35"/>
      <c r="P23" s="35" t="s">
        <v>125</v>
      </c>
      <c r="Q23" s="44" t="s">
        <v>125</v>
      </c>
      <c r="R23" s="44"/>
      <c r="S23" s="44"/>
      <c r="T23" s="44"/>
      <c r="U23" s="35"/>
      <c r="V23" s="35"/>
      <c r="W23" s="35"/>
      <c r="X23" s="35"/>
      <c r="Y23" s="12" t="s">
        <v>115</v>
      </c>
      <c r="Z23" s="11">
        <v>0</v>
      </c>
      <c r="AA23" s="12" t="s">
        <v>7</v>
      </c>
      <c r="AB23" s="12"/>
    </row>
    <row r="24" spans="1:28" ht="56.25" customHeight="1" x14ac:dyDescent="0.25">
      <c r="A24" s="3">
        <v>17</v>
      </c>
      <c r="B24" s="13" t="s">
        <v>41</v>
      </c>
      <c r="C24" s="13" t="s">
        <v>110</v>
      </c>
      <c r="D24" s="13" t="s">
        <v>111</v>
      </c>
      <c r="E24" s="45" t="s">
        <v>125</v>
      </c>
      <c r="F24" s="45" t="s">
        <v>125</v>
      </c>
      <c r="G24" s="45" t="s">
        <v>125</v>
      </c>
      <c r="H24" s="45" t="s">
        <v>125</v>
      </c>
      <c r="I24" s="46" t="s">
        <v>125</v>
      </c>
      <c r="J24" s="46" t="s">
        <v>125</v>
      </c>
      <c r="K24" s="46" t="s">
        <v>125</v>
      </c>
      <c r="L24" s="46" t="s">
        <v>125</v>
      </c>
      <c r="M24" s="35" t="s">
        <v>125</v>
      </c>
      <c r="N24" s="35" t="s">
        <v>125</v>
      </c>
      <c r="O24" s="35" t="s">
        <v>125</v>
      </c>
      <c r="P24" s="35" t="s">
        <v>125</v>
      </c>
      <c r="Q24" s="46" t="s">
        <v>125</v>
      </c>
      <c r="R24" s="46" t="s">
        <v>125</v>
      </c>
      <c r="S24" s="46" t="s">
        <v>125</v>
      </c>
      <c r="T24" s="46" t="s">
        <v>125</v>
      </c>
      <c r="U24" s="35" t="s">
        <v>125</v>
      </c>
      <c r="V24" s="35" t="s">
        <v>125</v>
      </c>
      <c r="W24" s="35" t="s">
        <v>125</v>
      </c>
      <c r="X24" s="35" t="s">
        <v>125</v>
      </c>
      <c r="Y24" s="13" t="s">
        <v>112</v>
      </c>
      <c r="Z24" s="3">
        <v>15</v>
      </c>
      <c r="AA24" s="13" t="s">
        <v>133</v>
      </c>
      <c r="AB24" s="13"/>
    </row>
    <row r="25" spans="1:28" ht="54" customHeight="1" x14ac:dyDescent="0.25">
      <c r="A25" s="5">
        <v>18</v>
      </c>
      <c r="B25" s="12" t="s">
        <v>42</v>
      </c>
      <c r="C25" s="12" t="s">
        <v>107</v>
      </c>
      <c r="D25" s="25" t="s">
        <v>108</v>
      </c>
      <c r="E25" s="43" t="s">
        <v>125</v>
      </c>
      <c r="F25" s="43" t="s">
        <v>125</v>
      </c>
      <c r="G25" s="43" t="s">
        <v>125</v>
      </c>
      <c r="H25" s="43" t="s">
        <v>125</v>
      </c>
      <c r="I25" s="44" t="s">
        <v>125</v>
      </c>
      <c r="J25" s="44" t="s">
        <v>125</v>
      </c>
      <c r="K25" s="44" t="s">
        <v>125</v>
      </c>
      <c r="L25" s="44" t="s">
        <v>125</v>
      </c>
      <c r="M25" s="35" t="s">
        <v>125</v>
      </c>
      <c r="N25" s="35" t="s">
        <v>125</v>
      </c>
      <c r="O25" s="35" t="s">
        <v>125</v>
      </c>
      <c r="P25" s="35" t="s">
        <v>125</v>
      </c>
      <c r="Q25" s="44" t="s">
        <v>125</v>
      </c>
      <c r="R25" s="44" t="s">
        <v>125</v>
      </c>
      <c r="S25" s="44" t="s">
        <v>125</v>
      </c>
      <c r="T25" s="44" t="s">
        <v>125</v>
      </c>
      <c r="U25" s="35" t="s">
        <v>125</v>
      </c>
      <c r="V25" s="35" t="s">
        <v>125</v>
      </c>
      <c r="W25" s="35" t="s">
        <v>125</v>
      </c>
      <c r="X25" s="35" t="s">
        <v>125</v>
      </c>
      <c r="Y25" s="12" t="s">
        <v>109</v>
      </c>
      <c r="Z25" s="11">
        <v>15</v>
      </c>
      <c r="AA25" s="12" t="s">
        <v>133</v>
      </c>
      <c r="AB25" s="12"/>
    </row>
    <row r="26" spans="1:28" ht="45" customHeight="1" x14ac:dyDescent="0.25">
      <c r="A26" s="3">
        <v>19</v>
      </c>
      <c r="B26" s="13" t="s">
        <v>43</v>
      </c>
      <c r="C26" s="13" t="s">
        <v>104</v>
      </c>
      <c r="D26" s="13" t="s">
        <v>105</v>
      </c>
      <c r="E26" s="45" t="s">
        <v>125</v>
      </c>
      <c r="F26" s="45" t="s">
        <v>125</v>
      </c>
      <c r="G26" s="45" t="s">
        <v>125</v>
      </c>
      <c r="H26" s="45" t="s">
        <v>125</v>
      </c>
      <c r="I26" s="46" t="s">
        <v>125</v>
      </c>
      <c r="J26" s="46" t="s">
        <v>125</v>
      </c>
      <c r="K26" s="46" t="s">
        <v>125</v>
      </c>
      <c r="L26" s="46" t="s">
        <v>125</v>
      </c>
      <c r="M26" s="35" t="s">
        <v>125</v>
      </c>
      <c r="N26" s="35" t="s">
        <v>125</v>
      </c>
      <c r="O26" s="35" t="s">
        <v>125</v>
      </c>
      <c r="P26" s="35" t="s">
        <v>125</v>
      </c>
      <c r="Q26" s="46" t="s">
        <v>125</v>
      </c>
      <c r="R26" s="46" t="s">
        <v>125</v>
      </c>
      <c r="S26" s="46" t="s">
        <v>125</v>
      </c>
      <c r="T26" s="46" t="s">
        <v>125</v>
      </c>
      <c r="U26" s="35" t="s">
        <v>125</v>
      </c>
      <c r="V26" s="35" t="s">
        <v>125</v>
      </c>
      <c r="W26" s="35" t="s">
        <v>125</v>
      </c>
      <c r="X26" s="35" t="s">
        <v>125</v>
      </c>
      <c r="Y26" s="13" t="s">
        <v>106</v>
      </c>
      <c r="Z26" s="3">
        <v>15</v>
      </c>
      <c r="AA26" s="13" t="s">
        <v>133</v>
      </c>
      <c r="AB26" s="13"/>
    </row>
    <row r="27" spans="1:28" ht="51" customHeight="1" x14ac:dyDescent="0.25">
      <c r="A27" s="5">
        <v>20</v>
      </c>
      <c r="B27" s="12" t="s">
        <v>44</v>
      </c>
      <c r="C27" s="12" t="s">
        <v>101</v>
      </c>
      <c r="D27" s="12" t="s">
        <v>102</v>
      </c>
      <c r="E27" s="43"/>
      <c r="F27" s="43"/>
      <c r="G27" s="43"/>
      <c r="H27" s="43"/>
      <c r="I27" s="44"/>
      <c r="J27" s="44"/>
      <c r="K27" s="44"/>
      <c r="L27" s="44"/>
      <c r="M27" s="35"/>
      <c r="N27" s="35"/>
      <c r="O27" s="35"/>
      <c r="P27" s="35"/>
      <c r="Q27" s="44"/>
      <c r="R27" s="44"/>
      <c r="S27" s="44"/>
      <c r="T27" s="44"/>
      <c r="U27" s="35"/>
      <c r="V27" s="35" t="s">
        <v>125</v>
      </c>
      <c r="W27" s="35" t="s">
        <v>125</v>
      </c>
      <c r="X27" s="35" t="s">
        <v>125</v>
      </c>
      <c r="Y27" s="12" t="s">
        <v>103</v>
      </c>
      <c r="Z27" s="11">
        <v>0</v>
      </c>
      <c r="AA27" s="12" t="s">
        <v>7</v>
      </c>
      <c r="AB27" s="12"/>
    </row>
    <row r="28" spans="1:28" ht="67.5" customHeight="1" x14ac:dyDescent="0.25">
      <c r="A28" s="3">
        <v>21</v>
      </c>
      <c r="B28" s="13" t="s">
        <v>45</v>
      </c>
      <c r="C28" s="13" t="s">
        <v>98</v>
      </c>
      <c r="D28" s="13" t="s">
        <v>99</v>
      </c>
      <c r="E28" s="45"/>
      <c r="F28" s="45"/>
      <c r="G28" s="45"/>
      <c r="H28" s="45"/>
      <c r="I28" s="46" t="s">
        <v>125</v>
      </c>
      <c r="J28" s="46"/>
      <c r="K28" s="46" t="s">
        <v>125</v>
      </c>
      <c r="L28" s="46"/>
      <c r="M28" s="35" t="s">
        <v>125</v>
      </c>
      <c r="N28" s="35"/>
      <c r="O28" s="35" t="s">
        <v>125</v>
      </c>
      <c r="P28" s="35"/>
      <c r="Q28" s="46" t="s">
        <v>125</v>
      </c>
      <c r="R28" s="46"/>
      <c r="S28" s="46" t="s">
        <v>125</v>
      </c>
      <c r="T28" s="46"/>
      <c r="U28" s="35" t="s">
        <v>125</v>
      </c>
      <c r="V28" s="35"/>
      <c r="W28" s="35" t="s">
        <v>125</v>
      </c>
      <c r="X28" s="35"/>
      <c r="Y28" s="13" t="s">
        <v>100</v>
      </c>
      <c r="Z28" s="3">
        <v>0</v>
      </c>
      <c r="AA28" s="13" t="s">
        <v>7</v>
      </c>
      <c r="AB28" s="13"/>
    </row>
    <row r="29" spans="1:28" ht="50.25" customHeight="1" x14ac:dyDescent="0.25">
      <c r="A29" s="5">
        <v>22</v>
      </c>
      <c r="B29" s="12" t="s">
        <v>46</v>
      </c>
      <c r="C29" s="12" t="s">
        <v>95</v>
      </c>
      <c r="D29" s="16" t="s">
        <v>96</v>
      </c>
      <c r="E29" s="43"/>
      <c r="F29" s="43"/>
      <c r="G29" s="43"/>
      <c r="H29" s="43"/>
      <c r="I29" s="44"/>
      <c r="J29" s="44"/>
      <c r="K29" s="44"/>
      <c r="L29" s="44" t="s">
        <v>125</v>
      </c>
      <c r="M29" s="35"/>
      <c r="N29" s="35"/>
      <c r="O29" s="35"/>
      <c r="P29" s="35"/>
      <c r="Q29" s="44"/>
      <c r="R29" s="44"/>
      <c r="S29" s="44"/>
      <c r="T29" s="44" t="s">
        <v>125</v>
      </c>
      <c r="U29" s="35"/>
      <c r="V29" s="35" t="s">
        <v>125</v>
      </c>
      <c r="W29" s="35" t="s">
        <v>125</v>
      </c>
      <c r="X29" s="35" t="s">
        <v>125</v>
      </c>
      <c r="Y29" s="12" t="s">
        <v>97</v>
      </c>
      <c r="Z29" s="11">
        <v>0</v>
      </c>
      <c r="AA29" s="12" t="s">
        <v>7</v>
      </c>
      <c r="AB29" s="12"/>
    </row>
    <row r="30" spans="1:28" ht="57.75" customHeight="1" x14ac:dyDescent="0.25">
      <c r="A30" s="3">
        <v>23</v>
      </c>
      <c r="B30" s="13" t="s">
        <v>47</v>
      </c>
      <c r="C30" s="13" t="s">
        <v>92</v>
      </c>
      <c r="D30" s="13" t="s">
        <v>93</v>
      </c>
      <c r="E30" s="45"/>
      <c r="F30" s="45"/>
      <c r="G30" s="45" t="s">
        <v>125</v>
      </c>
      <c r="H30" s="45" t="s">
        <v>125</v>
      </c>
      <c r="I30" s="46"/>
      <c r="J30" s="46"/>
      <c r="K30" s="46" t="s">
        <v>125</v>
      </c>
      <c r="L30" s="46" t="s">
        <v>125</v>
      </c>
      <c r="M30" s="35"/>
      <c r="N30" s="35"/>
      <c r="O30" s="35" t="s">
        <v>125</v>
      </c>
      <c r="P30" s="35" t="s">
        <v>125</v>
      </c>
      <c r="Q30" s="46"/>
      <c r="R30" s="46"/>
      <c r="S30" s="46" t="s">
        <v>125</v>
      </c>
      <c r="T30" s="46" t="s">
        <v>125</v>
      </c>
      <c r="U30" s="35"/>
      <c r="V30" s="35"/>
      <c r="W30" s="35" t="s">
        <v>125</v>
      </c>
      <c r="X30" s="35" t="s">
        <v>125</v>
      </c>
      <c r="Y30" s="13" t="s">
        <v>94</v>
      </c>
      <c r="Z30" s="3">
        <v>0</v>
      </c>
      <c r="AA30" s="13" t="s">
        <v>7</v>
      </c>
      <c r="AB30" s="13"/>
    </row>
    <row r="31" spans="1:28" ht="53.25" customHeight="1" x14ac:dyDescent="0.25">
      <c r="A31" s="5">
        <v>24</v>
      </c>
      <c r="B31" s="12" t="s">
        <v>48</v>
      </c>
      <c r="C31" s="12" t="s">
        <v>89</v>
      </c>
      <c r="D31" s="12" t="s">
        <v>90</v>
      </c>
      <c r="E31" s="43"/>
      <c r="F31" s="43"/>
      <c r="G31" s="43"/>
      <c r="H31" s="43"/>
      <c r="I31" s="44" t="s">
        <v>125</v>
      </c>
      <c r="J31" s="44"/>
      <c r="K31" s="44"/>
      <c r="L31" s="44"/>
      <c r="M31" s="35" t="s">
        <v>125</v>
      </c>
      <c r="N31" s="35"/>
      <c r="O31" s="35"/>
      <c r="P31" s="35"/>
      <c r="Q31" s="44" t="s">
        <v>125</v>
      </c>
      <c r="R31" s="44"/>
      <c r="S31" s="44"/>
      <c r="T31" s="44"/>
      <c r="U31" s="35" t="s">
        <v>125</v>
      </c>
      <c r="V31" s="35"/>
      <c r="W31" s="35"/>
      <c r="X31" s="35"/>
      <c r="Y31" s="12" t="s">
        <v>91</v>
      </c>
      <c r="Z31" s="11">
        <v>0</v>
      </c>
      <c r="AA31" s="12" t="s">
        <v>7</v>
      </c>
      <c r="AB31" s="12"/>
    </row>
    <row r="32" spans="1:28" ht="51" customHeight="1" x14ac:dyDescent="0.25">
      <c r="A32" s="3">
        <v>25</v>
      </c>
      <c r="B32" s="13" t="s">
        <v>49</v>
      </c>
      <c r="C32" s="13" t="s">
        <v>86</v>
      </c>
      <c r="D32" s="13" t="s">
        <v>87</v>
      </c>
      <c r="E32" s="45"/>
      <c r="F32" s="45"/>
      <c r="G32" s="45"/>
      <c r="H32" s="45"/>
      <c r="I32" s="46"/>
      <c r="J32" s="46"/>
      <c r="K32" s="46"/>
      <c r="L32" s="46"/>
      <c r="M32" s="35"/>
      <c r="N32" s="35"/>
      <c r="O32" s="35" t="s">
        <v>125</v>
      </c>
      <c r="P32" s="35" t="s">
        <v>125</v>
      </c>
      <c r="Q32" s="46"/>
      <c r="R32" s="46"/>
      <c r="S32" s="46"/>
      <c r="T32" s="46"/>
      <c r="U32" s="35"/>
      <c r="V32" s="35"/>
      <c r="W32" s="35"/>
      <c r="X32" s="35"/>
      <c r="Y32" s="13" t="s">
        <v>88</v>
      </c>
      <c r="Z32" s="3">
        <v>0</v>
      </c>
      <c r="AA32" s="13" t="s">
        <v>7</v>
      </c>
      <c r="AB32" s="13"/>
    </row>
    <row r="33" spans="1:28" ht="40.5" customHeight="1" x14ac:dyDescent="0.25">
      <c r="A33" s="5">
        <v>26</v>
      </c>
      <c r="B33" s="12" t="s">
        <v>50</v>
      </c>
      <c r="C33" s="12" t="s">
        <v>83</v>
      </c>
      <c r="D33" s="12" t="s">
        <v>84</v>
      </c>
      <c r="E33" s="43"/>
      <c r="F33" s="43"/>
      <c r="G33" s="43"/>
      <c r="H33" s="43" t="s">
        <v>125</v>
      </c>
      <c r="I33" s="44"/>
      <c r="J33" s="44"/>
      <c r="K33" s="44"/>
      <c r="L33" s="44" t="s">
        <v>125</v>
      </c>
      <c r="M33" s="35"/>
      <c r="N33" s="35"/>
      <c r="O33" s="35"/>
      <c r="P33" s="35" t="s">
        <v>125</v>
      </c>
      <c r="Q33" s="44"/>
      <c r="R33" s="44"/>
      <c r="S33" s="44"/>
      <c r="T33" s="44" t="s">
        <v>125</v>
      </c>
      <c r="U33" s="35"/>
      <c r="V33" s="35"/>
      <c r="W33" s="35"/>
      <c r="X33" s="35" t="s">
        <v>125</v>
      </c>
      <c r="Y33" s="12" t="s">
        <v>85</v>
      </c>
      <c r="Z33" s="11">
        <v>0</v>
      </c>
      <c r="AA33" s="12" t="s">
        <v>7</v>
      </c>
      <c r="AB33" s="12"/>
    </row>
    <row r="34" spans="1:28" ht="51.75" customHeight="1" x14ac:dyDescent="0.25">
      <c r="A34" s="3">
        <v>27</v>
      </c>
      <c r="B34" s="14" t="s">
        <v>51</v>
      </c>
      <c r="C34" s="14" t="s">
        <v>122</v>
      </c>
      <c r="D34" s="14" t="s">
        <v>123</v>
      </c>
      <c r="E34" s="47"/>
      <c r="F34" s="47"/>
      <c r="G34" s="47"/>
      <c r="H34" s="47"/>
      <c r="I34" s="48"/>
      <c r="J34" s="48"/>
      <c r="K34" s="48"/>
      <c r="L34" s="48"/>
      <c r="M34" s="35"/>
      <c r="N34" s="35"/>
      <c r="O34" s="35"/>
      <c r="P34" s="35"/>
      <c r="Q34" s="48"/>
      <c r="R34" s="48"/>
      <c r="S34" s="48"/>
      <c r="T34" s="48"/>
      <c r="U34" s="35"/>
      <c r="V34" s="35"/>
      <c r="W34" s="35" t="s">
        <v>125</v>
      </c>
      <c r="X34" s="35" t="s">
        <v>125</v>
      </c>
      <c r="Y34" s="14" t="s">
        <v>124</v>
      </c>
      <c r="Z34" s="15">
        <v>0</v>
      </c>
      <c r="AA34" s="14" t="s">
        <v>7</v>
      </c>
      <c r="AB34" s="14"/>
    </row>
    <row r="36" spans="1:28" x14ac:dyDescent="0.25">
      <c r="A36" s="17" t="s">
        <v>8</v>
      </c>
      <c r="B36" s="18"/>
      <c r="C36" s="18"/>
    </row>
    <row r="37" spans="1:28" x14ac:dyDescent="0.25">
      <c r="A37" s="22" t="s">
        <v>9</v>
      </c>
      <c r="B37" s="23"/>
      <c r="C37" s="24">
        <f>COUNTA(A8:A34)</f>
        <v>27</v>
      </c>
    </row>
    <row r="38" spans="1:28" x14ac:dyDescent="0.25">
      <c r="A38" s="22" t="s">
        <v>21</v>
      </c>
      <c r="B38" s="23"/>
      <c r="C38" s="24">
        <f>COUNTIF(AA8:AA17,"Completado")</f>
        <v>0</v>
      </c>
    </row>
    <row r="39" spans="1:28" x14ac:dyDescent="0.25">
      <c r="A39" s="22" t="s">
        <v>10</v>
      </c>
      <c r="B39" s="23"/>
      <c r="C39" s="24">
        <f>COUNTIF(AA8:AA17,"En proceso")</f>
        <v>2</v>
      </c>
    </row>
    <row r="40" spans="1:28" x14ac:dyDescent="0.25">
      <c r="A40" s="22" t="s">
        <v>22</v>
      </c>
      <c r="B40" s="23"/>
      <c r="C40" s="24">
        <f>COUNTIF(AA8:AA17,"Retrasado")</f>
        <v>0</v>
      </c>
    </row>
    <row r="41" spans="1:28" x14ac:dyDescent="0.25">
      <c r="A41" s="22" t="s">
        <v>23</v>
      </c>
      <c r="B41" s="23"/>
      <c r="C41" s="24">
        <f>COUNTIF(AA8:AA34,"No iniciado")</f>
        <v>18</v>
      </c>
    </row>
    <row r="42" spans="1:28" ht="18" x14ac:dyDescent="0.25">
      <c r="A42" s="20" t="s">
        <v>11</v>
      </c>
      <c r="B42" s="19"/>
      <c r="C42" s="21">
        <f>AVERAGE(Z8:Z21)/100</f>
        <v>0.21071428571428574</v>
      </c>
    </row>
    <row r="44" spans="1:28" x14ac:dyDescent="0.25">
      <c r="A44" s="7" t="s">
        <v>12</v>
      </c>
    </row>
    <row r="45" spans="1:28" ht="15" customHeight="1" x14ac:dyDescent="0.25">
      <c r="A45" s="26" t="s">
        <v>13</v>
      </c>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row>
    <row r="46" spans="1:28" ht="15" customHeight="1" x14ac:dyDescent="0.25">
      <c r="A46" s="26" t="s">
        <v>58</v>
      </c>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row>
    <row r="47" spans="1:28" ht="15" customHeight="1" x14ac:dyDescent="0.25">
      <c r="A47" s="26" t="s">
        <v>14</v>
      </c>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row>
    <row r="48" spans="1:28" ht="15" customHeight="1" x14ac:dyDescent="0.25">
      <c r="A48" s="26" t="s">
        <v>53</v>
      </c>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row>
    <row r="49" spans="1:28" ht="15" customHeight="1" x14ac:dyDescent="0.25">
      <c r="A49" s="26" t="s">
        <v>54</v>
      </c>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row>
    <row r="50" spans="1:28" ht="15" customHeight="1" x14ac:dyDescent="0.25">
      <c r="A50" s="26" t="s">
        <v>55</v>
      </c>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row>
  </sheetData>
  <mergeCells count="17">
    <mergeCell ref="A1:AB1"/>
    <mergeCell ref="A2:AB2"/>
    <mergeCell ref="C4:J4"/>
    <mergeCell ref="P4:AB4"/>
    <mergeCell ref="C5:J5"/>
    <mergeCell ref="P5:AB5"/>
    <mergeCell ref="A45:AB45"/>
    <mergeCell ref="A50:AB50"/>
    <mergeCell ref="E7:H7"/>
    <mergeCell ref="I7:L7"/>
    <mergeCell ref="M7:P7"/>
    <mergeCell ref="Q7:T7"/>
    <mergeCell ref="U7:X7"/>
    <mergeCell ref="A46:AB46"/>
    <mergeCell ref="A47:AB47"/>
    <mergeCell ref="A48:AB48"/>
    <mergeCell ref="A49:AB49"/>
  </mergeCells>
  <dataValidations count="2">
    <dataValidation type="list" allowBlank="1" sqref="AA8:AA34" xr:uid="{00000000-0002-0000-0000-000000000000}">
      <formula1>"No iniciado,En proceso,Completado,Retrasado"</formula1>
      <formula2>0</formula2>
    </dataValidation>
    <dataValidation type="whole" allowBlank="1" showErrorMessage="1" errorTitle="Valor inválido" error="Ingrese un número entero entre 0 y 100." sqref="Z8:Z34" xr:uid="{4B73854F-E2B4-4A74-8121-AB762E44C38B}">
      <formula1>0</formula1>
      <formula2>100</formula2>
    </dataValidation>
  </dataValidation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Monitoreo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Hugo Espetia Huamanga</cp:lastModifiedBy>
  <cp:revision>0</cp:revision>
  <dcterms:created xsi:type="dcterms:W3CDTF">2026-08-03T17:39:27Z</dcterms:created>
  <dcterms:modified xsi:type="dcterms:W3CDTF">2026-08-25T13:27:50Z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917dab6-ed9e-4612-857c-2ecbbef27737_Enabled">
    <vt:lpwstr>true</vt:lpwstr>
  </property>
  <property fmtid="{D5CDD505-2E9C-101B-9397-08002B2CF9AE}" pid="3" name="MSIP_Label_5917dab6-ed9e-4612-857c-2ecbbef27737_SetDate">
    <vt:lpwstr>2026-08-03T21:10:57Z</vt:lpwstr>
  </property>
  <property fmtid="{D5CDD505-2E9C-101B-9397-08002B2CF9AE}" pid="4" name="MSIP_Label_5917dab6-ed9e-4612-857c-2ecbbef27737_Method">
    <vt:lpwstr>Standard</vt:lpwstr>
  </property>
  <property fmtid="{D5CDD505-2E9C-101B-9397-08002B2CF9AE}" pid="5" name="MSIP_Label_5917dab6-ed9e-4612-857c-2ecbbef27737_Name">
    <vt:lpwstr>defa4170-0d19-0005-0004-bc88714345d2</vt:lpwstr>
  </property>
  <property fmtid="{D5CDD505-2E9C-101B-9397-08002B2CF9AE}" pid="6" name="MSIP_Label_5917dab6-ed9e-4612-857c-2ecbbef27737_SiteId">
    <vt:lpwstr>c5988c33-1f4a-4bfe-9566-50dd25b66b9c</vt:lpwstr>
  </property>
  <property fmtid="{D5CDD505-2E9C-101B-9397-08002B2CF9AE}" pid="7" name="MSIP_Label_5917dab6-ed9e-4612-857c-2ecbbef27737_ActionId">
    <vt:lpwstr>d9b9065d-ce4c-49c6-ba68-ffeb6b6dd543</vt:lpwstr>
  </property>
  <property fmtid="{D5CDD505-2E9C-101B-9397-08002B2CF9AE}" pid="8" name="MSIP_Label_5917dab6-ed9e-4612-857c-2ecbbef27737_ContentBits">
    <vt:lpwstr>0</vt:lpwstr>
  </property>
  <property fmtid="{D5CDD505-2E9C-101B-9397-08002B2CF9AE}" pid="9" name="MSIP_Label_5917dab6-ed9e-4612-857c-2ecbbef27737_Tag">
    <vt:lpwstr>10, 3, 0, 1</vt:lpwstr>
  </property>
</Properties>
</file>